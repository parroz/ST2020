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cb\Downloads\"/>
    </mc:Choice>
  </mc:AlternateContent>
  <bookViews>
    <workbookView xWindow="0" yWindow="0" windowWidth="25815" windowHeight="11415"/>
  </bookViews>
  <sheets>
    <sheet name="Avaliacao" sheetId="4" r:id="rId1"/>
    <sheet name="Restricoes" sheetId="2" state="hidden" r:id="rId2"/>
    <sheet name="Pesos" sheetId="3" state="hidden" r:id="rId3"/>
  </sheets>
  <definedNames>
    <definedName name="av_items">aval[ITEMS]</definedName>
    <definedName name="BOM">#REF!</definedName>
    <definedName name="EXCELENTE">#REF!</definedName>
    <definedName name="MAU">#REF!</definedName>
    <definedName name="PESSIMO">#REF!</definedName>
    <definedName name="RAZOAVEL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" i="4" l="1"/>
  <c r="I5" i="4"/>
  <c r="I3" i="4"/>
  <c r="B8" i="4" s="1"/>
  <c r="B4" i="2"/>
  <c r="B5" i="2"/>
  <c r="B6" i="2"/>
  <c r="B7" i="2"/>
  <c r="B8" i="2"/>
  <c r="B3" i="2"/>
  <c r="B9" i="4" l="1"/>
</calcChain>
</file>

<file path=xl/sharedStrings.xml><?xml version="1.0" encoding="utf-8"?>
<sst xmlns="http://schemas.openxmlformats.org/spreadsheetml/2006/main" count="31" uniqueCount="25">
  <si>
    <t>FEEDBACK AOS AUTORES</t>
  </si>
  <si>
    <t>NOTA</t>
  </si>
  <si>
    <t>ITEMS</t>
  </si>
  <si>
    <t>PCT</t>
  </si>
  <si>
    <t>ID DO RELATORIO</t>
  </si>
  <si>
    <t>CRITERIO</t>
  </si>
  <si>
    <t>PESO</t>
  </si>
  <si>
    <t>ID</t>
  </si>
  <si>
    <t>ERRORS</t>
  </si>
  <si>
    <t>MESSAGE</t>
  </si>
  <si>
    <t>O seu Número de Aluno</t>
  </si>
  <si>
    <t>Inovação da solução apresentada (10%)</t>
  </si>
  <si>
    <t>Aplicabilidade da solução (10%)</t>
  </si>
  <si>
    <t>Pertinência e relevância do trabalho (20%)</t>
  </si>
  <si>
    <t>Adequação e qualidade da solução apresentada (30%)</t>
  </si>
  <si>
    <t>Apreciação Global (15%)</t>
  </si>
  <si>
    <t xml:space="preserve">Estrutura e conteúdo do relatório e artefactos (15%) </t>
  </si>
  <si>
    <t>O aluno consegue identificar claramente o problema que se propõem resolver, demonstrar conhecimento do contexto no qual o trabalho se insere assim como o estado de arte e trabalho relacionado?A identificação do problema e consequente aplicabilidade da solução proposta é corroborada por especialista, utilizador(es) experiente(s) ou bibliografia?</t>
  </si>
  <si>
    <t>O aluno consegue demonstrar que a solução apresentada resolve o problema identificado de forma adequada, eficaz e com qualidade? O trabalho inclui elementos técnicos e científicos – modelos conceptuais, arquitecturas, desenhos de interfaces, bibliografia, etc. – demonstrando a aplicação de boas-práticas relevantes e adequadas ao desenvolvimento da solução?</t>
  </si>
  <si>
    <t>O aluno consegue demonstrar que a sua solução se diferencia de outras soluções já existentes e conhecidas? No enquadramento definido para o trabalho, o aluno identifica mais-valias face a alternativas existentes?</t>
  </si>
  <si>
    <t>O relatório tem uma estrutura adequada em que todos os conceitos sejam apresentadas com clareza e rigor científico? Os artefactos apresentados são facilitadores para a continuidade do trabalho, seja pelo próprio aluno, por outros alunos ou em ambiente profissional/empresarial?</t>
  </si>
  <si>
    <t>O problema/solução apresentados têm aplicação no contexto real (académico ou empresarial)?</t>
  </si>
  <si>
    <t>Apreciação global sobre a o trabalho</t>
  </si>
  <si>
    <t>0 (Não Cumpre)</t>
  </si>
  <si>
    <t>7 (Cumpre Plenamente)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</si>
</sst>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0" fontId="2" fillId="3" borderId="2" xfId="0" applyFont="1" applyFill="1" applyBorder="1" applyAlignment="1">
      <alignment horizontal="center" wrapText="1"/>
    </xf>
    <xf numFmtId="0" fontId="0" fillId="0" borderId="0" xfId="0" applyProtection="1">
      <protection hidden="1"/>
    </xf>
    <xf numFmtId="0" fontId="0" fillId="4" borderId="2" xfId="0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4" borderId="2" xfId="1" applyFill="1" applyBorder="1" applyProtection="1"/>
    <xf numFmtId="0" fontId="3" fillId="3" borderId="2" xfId="0" applyFont="1" applyFill="1" applyBorder="1" applyAlignment="1">
      <alignment horizontal="center" wrapText="1"/>
    </xf>
  </cellXfs>
  <cellStyles count="2">
    <cellStyle name="Calculation" xfId="1" builtinId="22"/>
    <cellStyle name="Normal" xfId="0" builtinId="0"/>
  </cellStyles>
  <dxfs count="9">
    <dxf>
      <font>
        <b/>
      </font>
      <fill>
        <patternFill patternType="solid">
          <fgColor indexed="64"/>
          <bgColor theme="4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4" name="aval" displayName="aval" ref="A1:B9" totalsRowShown="0" headerRowDxfId="8" dataDxfId="7">
  <autoFilter ref="A1:B9"/>
  <tableColumns count="2">
    <tableColumn id="1" name="ITEMS" dataDxfId="6"/>
    <tableColumn id="2" name="PCT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riterios" displayName="criterios" ref="A1:C7" totalsRowShown="0" headerRowDxfId="4" dataDxfId="3">
  <autoFilter ref="A1:C7"/>
  <tableColumns count="3">
    <tableColumn id="1" name="ID" dataDxfId="2"/>
    <tableColumn id="2" name="CRITERIO" dataDxfId="0"/>
    <tableColumn id="3" name="PESO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"/>
  <sheetViews>
    <sheetView tabSelected="1" topLeftCell="A2" zoomScaleNormal="100" workbookViewId="0">
      <selection activeCell="A3" sqref="A3"/>
    </sheetView>
  </sheetViews>
  <sheetFormatPr defaultRowHeight="15" x14ac:dyDescent="0.25"/>
  <cols>
    <col min="1" max="1" width="26.140625" customWidth="1"/>
    <col min="2" max="2" width="27.5703125" customWidth="1"/>
    <col min="3" max="3" width="22.28515625" customWidth="1"/>
    <col min="4" max="4" width="23.42578125" customWidth="1"/>
    <col min="5" max="5" width="22.42578125" customWidth="1"/>
    <col min="6" max="6" width="23.7109375" customWidth="1"/>
    <col min="7" max="7" width="22.5703125" customWidth="1"/>
    <col min="8" max="8" width="68.5703125" customWidth="1"/>
    <col min="9" max="9" width="18.5703125" customWidth="1"/>
    <col min="10" max="10" width="19.85546875" customWidth="1"/>
  </cols>
  <sheetData>
    <row r="1" spans="1:10" ht="45.75" customHeight="1" x14ac:dyDescent="0.25">
      <c r="A1" s="2" t="s">
        <v>4</v>
      </c>
      <c r="B1" s="2" t="s">
        <v>13</v>
      </c>
      <c r="C1" s="2" t="s">
        <v>14</v>
      </c>
      <c r="D1" s="2" t="s">
        <v>11</v>
      </c>
      <c r="E1" s="2" t="s">
        <v>12</v>
      </c>
      <c r="F1" s="2" t="s">
        <v>16</v>
      </c>
      <c r="G1" s="2" t="s">
        <v>15</v>
      </c>
      <c r="H1" s="2" t="s">
        <v>0</v>
      </c>
      <c r="I1" s="2" t="s">
        <v>1</v>
      </c>
      <c r="J1" s="2" t="s">
        <v>10</v>
      </c>
    </row>
    <row r="2" spans="1:10" ht="103.5" customHeight="1" x14ac:dyDescent="0.25">
      <c r="A2" s="2"/>
      <c r="B2" s="7" t="s">
        <v>17</v>
      </c>
      <c r="C2" s="7" t="s">
        <v>18</v>
      </c>
      <c r="D2" s="7" t="s">
        <v>19</v>
      </c>
      <c r="E2" s="7" t="s">
        <v>21</v>
      </c>
      <c r="F2" s="7" t="s">
        <v>20</v>
      </c>
      <c r="G2" s="7" t="s">
        <v>22</v>
      </c>
      <c r="H2" s="2"/>
      <c r="I2" s="2"/>
      <c r="J2" s="2"/>
    </row>
    <row r="3" spans="1:10" ht="112.5" customHeight="1" x14ac:dyDescent="0.25">
      <c r="A3" s="4"/>
      <c r="B3" s="4"/>
      <c r="C3" s="4"/>
      <c r="D3" s="4"/>
      <c r="E3" s="4"/>
      <c r="F3" s="4"/>
      <c r="G3" s="4"/>
      <c r="H3" s="5"/>
      <c r="I3" s="6" t="e">
        <f>ROUND(VLOOKUP(B3,aval[],2,0)*VLOOKUP(1,criterios[],3,0)+VLOOKUP(C3,aval[],2,0)*VLOOKUP(2,criterios[],3,0)+VLOOKUP(D3,aval[],2,0)*VLOOKUP(3,criterios[],3,0)+VLOOKUP(E3,aval[],2,0)*VLOOKUP(4,criterios[],3,0)+VLOOKUP(F3,aval[],2,0)*VLOOKUP(5,criterios[],3,0)+VLOOKUP(G3,aval[],2,0)*VLOOKUP(6,criterios[],3,0),0)</f>
        <v>#N/A</v>
      </c>
      <c r="J3" s="4"/>
    </row>
    <row r="4" spans="1:10" ht="123.75" customHeight="1" x14ac:dyDescent="0.25">
      <c r="A4" s="4"/>
      <c r="B4" s="4"/>
      <c r="C4" s="4"/>
      <c r="D4" s="4"/>
      <c r="E4" s="4"/>
      <c r="F4" s="4"/>
      <c r="G4" s="4"/>
      <c r="H4" s="5"/>
      <c r="I4" s="6" t="e">
        <f>ROUND(VLOOKUP(B4,aval[],2,0)*VLOOKUP(1,criterios[],3,0)+VLOOKUP(C4,aval[],2,0)*VLOOKUP(2,criterios[],3,0)+VLOOKUP(D4,aval[],2,0)*VLOOKUP(3,criterios[],3,0)+VLOOKUP(E4,aval[],2,0)*VLOOKUP(4,criterios[],3,0)+VLOOKUP(F4,aval[],2,0)*VLOOKUP(5,criterios[],3,0)+VLOOKUP(G4,aval[],2,0)*VLOOKUP(6,criterios[],3,0),0)</f>
        <v>#N/A</v>
      </c>
      <c r="J4" s="4"/>
    </row>
    <row r="5" spans="1:10" ht="123.75" customHeight="1" x14ac:dyDescent="0.25">
      <c r="A5" s="4"/>
      <c r="B5" s="4"/>
      <c r="C5" s="4"/>
      <c r="D5" s="4"/>
      <c r="E5" s="4"/>
      <c r="F5" s="4"/>
      <c r="G5" s="4"/>
      <c r="H5" s="5"/>
      <c r="I5" s="6" t="e">
        <f>ROUND(VLOOKUP(B5,aval[],2,0)*VLOOKUP(1,criterios[],3,0)+VLOOKUP(C5,aval[],2,0)*VLOOKUP(2,criterios[],3,0)+VLOOKUP(D5,aval[],2,0)*VLOOKUP(3,criterios[],3,0)+VLOOKUP(E5,aval[],2,0)*VLOOKUP(4,criterios[],3,0)+VLOOKUP(F5,aval[],2,0)*VLOOKUP(5,criterios[],3,0)+VLOOKUP(G5,aval[],2,0)*VLOOKUP(6,criterios[],3,0),0)</f>
        <v>#N/A</v>
      </c>
      <c r="J5" s="4"/>
    </row>
    <row r="8" spans="1:10" x14ac:dyDescent="0.25">
      <c r="A8" t="s">
        <v>8</v>
      </c>
      <c r="B8" s="1">
        <f>COUNTIFS(A3:A5,"")+COUNTIFS(H3:H5,"")+COUNTIFS(I3:I5,"#N/A")+COUNTIFS(J3:J5,"")</f>
        <v>12</v>
      </c>
    </row>
    <row r="9" spans="1:10" x14ac:dyDescent="0.25">
      <c r="A9" t="s">
        <v>9</v>
      </c>
      <c r="B9" s="1" t="str">
        <f>IF(B8&gt;0,"PLEASE FILL ALL THE CELLS","ALL OK")</f>
        <v>PLEASE FILL ALL THE CELLS</v>
      </c>
    </row>
  </sheetData>
  <sheetProtection algorithmName="SHA-512" hashValue="D09H1AN2BVf/HVX0x90EDvaDPWJ8u1zRxqtPlikuUYQSLDMrIHb2KToBo1gE7saGRbyD3ZI7hgFbYWoRtAIp8w==" saltValue="CgedVYhvm0UTcJrJ+24V3w==" spinCount="100000" sheet="1" objects="1" scenarios="1" selectLockedCells="1"/>
  <conditionalFormatting sqref="B8">
    <cfRule type="colorScale" priority="1">
      <colorScale>
        <cfvo type="num" val="0"/>
        <cfvo type="num" val="1"/>
        <color theme="9"/>
        <color rgb="FFFF0000"/>
      </colorScale>
    </cfRule>
  </conditionalFormatting>
  <dataValidations xWindow="613" yWindow="445" count="5">
    <dataValidation type="textLength" showInputMessage="1" showErrorMessage="1" errorTitle="Justificação" error="Minimo 50 caracteres, máximo 250." promptTitle="Justificação" prompt="Justificação da avaliação escolhida._x000a_Minimo 50 caracteres, máximo 3000." sqref="H3:H5">
      <formula1>50</formula1>
      <formula2>30000</formula2>
    </dataValidation>
    <dataValidation type="custom" showInputMessage="1" showErrorMessage="1" sqref="A3">
      <formula1>AND(ISNUMBER(A3),LEN(A3)=3,COUNTIF(A3:A4,A3)&lt;=1)</formula1>
    </dataValidation>
    <dataValidation type="custom" showInputMessage="1" showErrorMessage="1" sqref="J3:J5">
      <formula1>AND(ISNUMBER(J3),LEN(J3)=8)</formula1>
    </dataValidation>
    <dataValidation type="custom" showInputMessage="1" showErrorMessage="1" sqref="A4:A5">
      <formula1>AND(ISNUMBER(A4),LEN(A4)=3,COUNTIF(A3:A4,A4)&lt;=1)</formula1>
    </dataValidation>
    <dataValidation type="list" showInputMessage="1" showErrorMessage="1" sqref="B3:G5">
      <formula1>av_items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workbookViewId="0">
      <selection activeCell="E11" sqref="E11"/>
    </sheetView>
  </sheetViews>
  <sheetFormatPr defaultRowHeight="15" x14ac:dyDescent="0.25"/>
  <cols>
    <col min="1" max="1" width="22" style="3" customWidth="1"/>
    <col min="2" max="2" width="8.85546875" style="3" customWidth="1"/>
    <col min="3" max="16384" width="9.140625" style="3"/>
  </cols>
  <sheetData>
    <row r="1" spans="1:2" x14ac:dyDescent="0.25">
      <c r="A1" s="3" t="s">
        <v>2</v>
      </c>
      <c r="B1" s="3" t="s">
        <v>3</v>
      </c>
    </row>
    <row r="2" spans="1:2" x14ac:dyDescent="0.25">
      <c r="A2" s="3" t="s">
        <v>23</v>
      </c>
      <c r="B2" s="3">
        <v>0</v>
      </c>
    </row>
    <row r="3" spans="1:2" x14ac:dyDescent="0.25">
      <c r="A3" s="3">
        <v>1</v>
      </c>
      <c r="B3" s="3">
        <f>ROUND(aval[[#This Row],[ITEMS]]*20/7,1)</f>
        <v>2.9</v>
      </c>
    </row>
    <row r="4" spans="1:2" x14ac:dyDescent="0.25">
      <c r="A4" s="3">
        <v>2</v>
      </c>
      <c r="B4" s="3">
        <f>ROUND(aval[[#This Row],[ITEMS]]*20/7,1)</f>
        <v>5.7</v>
      </c>
    </row>
    <row r="5" spans="1:2" x14ac:dyDescent="0.25">
      <c r="A5" s="3">
        <v>3</v>
      </c>
      <c r="B5" s="3">
        <f>ROUND(aval[[#This Row],[ITEMS]]*20/7,1)</f>
        <v>8.6</v>
      </c>
    </row>
    <row r="6" spans="1:2" x14ac:dyDescent="0.25">
      <c r="A6" s="3">
        <v>4</v>
      </c>
      <c r="B6" s="3">
        <f>ROUND(aval[[#This Row],[ITEMS]]*20/7,1)</f>
        <v>11.4</v>
      </c>
    </row>
    <row r="7" spans="1:2" x14ac:dyDescent="0.25">
      <c r="A7" s="3">
        <v>5</v>
      </c>
      <c r="B7" s="3">
        <f>ROUND(aval[[#This Row],[ITEMS]]*20/7,1)</f>
        <v>14.3</v>
      </c>
    </row>
    <row r="8" spans="1:2" x14ac:dyDescent="0.25">
      <c r="A8" s="3">
        <v>6</v>
      </c>
      <c r="B8" s="3">
        <f>ROUND(aval[[#This Row],[ITEMS]]*20/7,1)</f>
        <v>17.100000000000001</v>
      </c>
    </row>
    <row r="9" spans="1:2" x14ac:dyDescent="0.25">
      <c r="A9" s="3" t="s">
        <v>24</v>
      </c>
      <c r="B9" s="3">
        <v>20</v>
      </c>
    </row>
  </sheetData>
  <sheetProtection algorithmName="SHA-512" hashValue="aG0ybTmsJv2rA8ZcqCg6+iV2tZWflYwYU9IhIu5cu1852Ud5bSzAq1VXdWdgOmpgxAI7hFCPP3Hm0FBLvYU3Zg==" saltValue="wDYP1o3j8YRX+XmkvONpEw==" spinCount="100000" sheet="1" objects="1" scenarios="1" selectLockedCells="1" selectUnlockedCell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>
      <selection activeCell="C2" sqref="C2:C7"/>
    </sheetView>
  </sheetViews>
  <sheetFormatPr defaultRowHeight="15" x14ac:dyDescent="0.25"/>
  <cols>
    <col min="1" max="1" width="9.140625" style="3"/>
    <col min="2" max="2" width="31.5703125" style="3" customWidth="1"/>
    <col min="3" max="3" width="9.140625" style="3" customWidth="1"/>
    <col min="4" max="16384" width="9.140625" style="3"/>
  </cols>
  <sheetData>
    <row r="1" spans="1:3" x14ac:dyDescent="0.25">
      <c r="A1" s="3" t="s">
        <v>7</v>
      </c>
      <c r="B1" s="3" t="s">
        <v>5</v>
      </c>
      <c r="C1" s="3" t="s">
        <v>6</v>
      </c>
    </row>
    <row r="2" spans="1:3" ht="30" x14ac:dyDescent="0.25">
      <c r="A2" s="3">
        <v>1</v>
      </c>
      <c r="B2" s="2" t="s">
        <v>13</v>
      </c>
      <c r="C2" s="3">
        <v>0.2</v>
      </c>
    </row>
    <row r="3" spans="1:3" ht="30" x14ac:dyDescent="0.25">
      <c r="A3" s="3">
        <v>2</v>
      </c>
      <c r="B3" s="2" t="s">
        <v>14</v>
      </c>
      <c r="C3" s="3">
        <v>0.3</v>
      </c>
    </row>
    <row r="4" spans="1:3" ht="30" x14ac:dyDescent="0.25">
      <c r="A4" s="3">
        <v>3</v>
      </c>
      <c r="B4" s="2" t="s">
        <v>11</v>
      </c>
      <c r="C4" s="3">
        <v>0.1</v>
      </c>
    </row>
    <row r="5" spans="1:3" x14ac:dyDescent="0.25">
      <c r="A5" s="3">
        <v>4</v>
      </c>
      <c r="B5" s="2" t="s">
        <v>12</v>
      </c>
      <c r="C5" s="3">
        <v>0.1</v>
      </c>
    </row>
    <row r="6" spans="1:3" ht="30" x14ac:dyDescent="0.25">
      <c r="A6" s="3">
        <v>5</v>
      </c>
      <c r="B6" s="2" t="s">
        <v>16</v>
      </c>
      <c r="C6" s="3">
        <v>0.15</v>
      </c>
    </row>
    <row r="7" spans="1:3" x14ac:dyDescent="0.25">
      <c r="A7" s="3">
        <v>6</v>
      </c>
      <c r="B7" s="2" t="s">
        <v>15</v>
      </c>
      <c r="C7" s="3">
        <v>0.15</v>
      </c>
    </row>
  </sheetData>
  <sheetProtection algorithmName="SHA-512" hashValue="cWjXADbwrgOF6IUS2ZpzHx2bD3j79YFrR/Fv+e0TjG8L8qJKWFh8nqa4B3vhyE/xt4DJg8L1oVhdl8XLhlvmYA==" saltValue="Y4JEca98nQb+4RKEFaDS4w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Avaliacao</vt:lpstr>
      <vt:lpstr>Restricoes</vt:lpstr>
      <vt:lpstr>Pesos</vt:lpstr>
      <vt:lpstr>av_items</vt:lpstr>
    </vt:vector>
  </TitlesOfParts>
  <Company>GMV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Arroz Serra</dc:creator>
  <cp:lastModifiedBy>Pedro Arroz Serra</cp:lastModifiedBy>
  <dcterms:created xsi:type="dcterms:W3CDTF">2020-04-09T15:12:49Z</dcterms:created>
  <dcterms:modified xsi:type="dcterms:W3CDTF">2020-07-20T16:29:02Z</dcterms:modified>
</cp:coreProperties>
</file>